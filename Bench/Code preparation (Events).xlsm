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Αυτό_το_βιβλίο_εργασίας" defaultThemeVersion="124226"/>
  <bookViews>
    <workbookView xWindow="240" yWindow="60" windowWidth="20115" windowHeight="8010" activeTab="2"/>
  </bookViews>
  <sheets>
    <sheet name="TableColumns" sheetId="1" r:id="rId1"/>
    <sheet name="Assign to variables" sheetId="2" r:id="rId2"/>
    <sheet name="API return array" sheetId="3" r:id="rId3"/>
    <sheet name="$_POST to vars" sheetId="4" r:id="rId4"/>
    <sheet name="INSERT INTO" sheetId="5" r:id="rId5"/>
  </sheets>
  <calcPr calcId="145621"/>
</workbook>
</file>

<file path=xl/calcChain.xml><?xml version="1.0" encoding="utf-8"?>
<calcChain xmlns="http://schemas.openxmlformats.org/spreadsheetml/2006/main">
  <c r="B13" i="3" l="1"/>
  <c r="D13" i="3"/>
  <c r="G13" i="3"/>
  <c r="F3" i="2" l="1"/>
  <c r="F4" i="2"/>
  <c r="F5" i="2"/>
  <c r="F6" i="2"/>
  <c r="F7" i="2"/>
  <c r="F8" i="2"/>
  <c r="F9" i="2"/>
  <c r="F10" i="2"/>
  <c r="F11" i="2"/>
  <c r="F12" i="2"/>
  <c r="F13" i="2"/>
  <c r="F2" i="2"/>
  <c r="E3" i="2"/>
  <c r="E4" i="2"/>
  <c r="E5" i="2"/>
  <c r="E6" i="2"/>
  <c r="E7" i="2"/>
  <c r="E8" i="2"/>
  <c r="E9" i="2"/>
  <c r="E10" i="2"/>
  <c r="E11" i="2"/>
  <c r="E12" i="2"/>
  <c r="E13" i="2"/>
  <c r="E2" i="2"/>
  <c r="A7" i="4"/>
  <c r="B7" i="4"/>
  <c r="C7" i="4" s="1"/>
  <c r="E7" i="4" s="1"/>
  <c r="A8" i="4"/>
  <c r="B8" i="4"/>
  <c r="C8" i="4" s="1"/>
  <c r="E8" i="4" s="1"/>
  <c r="A9" i="4"/>
  <c r="B9" i="4"/>
  <c r="C9" i="4" s="1"/>
  <c r="E9" i="4" s="1"/>
  <c r="A10" i="4"/>
  <c r="B10" i="4"/>
  <c r="C10" i="4" s="1"/>
  <c r="E10" i="4" s="1"/>
  <c r="A11" i="4"/>
  <c r="B11" i="4"/>
  <c r="C11" i="4" s="1"/>
  <c r="E11" i="4" s="1"/>
  <c r="A12" i="4"/>
  <c r="B12" i="4"/>
  <c r="C12" i="4" s="1"/>
  <c r="E12" i="4" s="1"/>
  <c r="B7" i="3"/>
  <c r="D7" i="3"/>
  <c r="G7" i="3"/>
  <c r="B8" i="3"/>
  <c r="D8" i="3"/>
  <c r="G8" i="3" s="1"/>
  <c r="B9" i="3"/>
  <c r="D9" i="3"/>
  <c r="G9" i="3"/>
  <c r="B10" i="3"/>
  <c r="D10" i="3"/>
  <c r="G10" i="3" s="1"/>
  <c r="B11" i="3"/>
  <c r="D11" i="3"/>
  <c r="G11" i="3"/>
  <c r="B12" i="3"/>
  <c r="D12" i="3"/>
  <c r="G12" i="3" s="1"/>
  <c r="A13" i="2"/>
  <c r="B13" i="2" s="1"/>
  <c r="A8" i="2"/>
  <c r="B8" i="2" s="1"/>
  <c r="D8" i="2" s="1"/>
  <c r="C8" i="2"/>
  <c r="A9" i="2"/>
  <c r="B9" i="2" s="1"/>
  <c r="D9" i="2" s="1"/>
  <c r="C9" i="2"/>
  <c r="A10" i="2"/>
  <c r="B10" i="2" s="1"/>
  <c r="D10" i="2" s="1"/>
  <c r="C10" i="2"/>
  <c r="A11" i="2"/>
  <c r="B11" i="2" s="1"/>
  <c r="D11" i="2" s="1"/>
  <c r="C11" i="2"/>
  <c r="A12" i="2"/>
  <c r="B12" i="2" s="1"/>
  <c r="D12" i="2" s="1"/>
  <c r="C12" i="2"/>
  <c r="D13" i="2" l="1"/>
  <c r="C13" i="2"/>
  <c r="B1" i="4" l="1"/>
  <c r="C1" i="4" s="1"/>
  <c r="B2" i="4"/>
  <c r="C2" i="4" s="1"/>
  <c r="B3" i="4"/>
  <c r="C3" i="4" s="1"/>
  <c r="B4" i="4"/>
  <c r="C4" i="4" s="1"/>
  <c r="B5" i="4"/>
  <c r="C5" i="4" s="1"/>
  <c r="B6" i="4"/>
  <c r="C6" i="4" s="1"/>
  <c r="A2" i="4"/>
  <c r="A3" i="4"/>
  <c r="A4" i="4"/>
  <c r="A5" i="4"/>
  <c r="A6" i="4"/>
  <c r="A1" i="4"/>
  <c r="E5" i="4" l="1"/>
  <c r="E3" i="4"/>
  <c r="E6" i="4"/>
  <c r="E4" i="4"/>
  <c r="E1" i="4"/>
  <c r="E2" i="4"/>
  <c r="D1" i="3"/>
  <c r="B2" i="3" l="1"/>
  <c r="D2" i="3"/>
  <c r="B3" i="3"/>
  <c r="D3" i="3"/>
  <c r="B4" i="3"/>
  <c r="D4" i="3"/>
  <c r="B5" i="3"/>
  <c r="D5" i="3"/>
  <c r="B6" i="3"/>
  <c r="D6" i="3"/>
  <c r="B1" i="3"/>
  <c r="G1" i="3" s="1"/>
  <c r="G3" i="3" l="1"/>
  <c r="G5" i="3"/>
  <c r="G4" i="3"/>
  <c r="G6" i="3"/>
  <c r="G2" i="3"/>
  <c r="A3" i="2"/>
  <c r="B3" i="2" s="1"/>
  <c r="A5" i="5" s="1"/>
  <c r="A4" i="2"/>
  <c r="B4" i="2" s="1"/>
  <c r="A6" i="5" s="1"/>
  <c r="A5" i="2"/>
  <c r="B5" i="2" s="1"/>
  <c r="A7" i="5" s="1"/>
  <c r="A6" i="2"/>
  <c r="B6" i="2" s="1"/>
  <c r="A8" i="5" s="1"/>
  <c r="A7" i="2"/>
  <c r="B7" i="2" s="1"/>
  <c r="A9" i="5" s="1"/>
  <c r="A2" i="2"/>
  <c r="C2" i="2" s="1"/>
  <c r="B2" i="2" l="1"/>
  <c r="C7" i="2"/>
  <c r="D7" i="2" s="1"/>
  <c r="C6" i="2"/>
  <c r="D6" i="2" s="1"/>
  <c r="C5" i="2"/>
  <c r="D5" i="2" s="1"/>
  <c r="C4" i="2"/>
  <c r="D4" i="2" s="1"/>
  <c r="C3" i="2"/>
  <c r="D3" i="2" s="1"/>
  <c r="D2" i="2" l="1"/>
  <c r="A4" i="5"/>
</calcChain>
</file>

<file path=xl/sharedStrings.xml><?xml version="1.0" encoding="utf-8"?>
<sst xmlns="http://schemas.openxmlformats.org/spreadsheetml/2006/main" count="90" uniqueCount="43">
  <si>
    <t>Variable</t>
  </si>
  <si>
    <t>$_POST</t>
  </si>
  <si>
    <t>Assignment</t>
  </si>
  <si>
    <t>"</t>
  </si>
  <si>
    <t>" =&gt; $row['</t>
  </si>
  <si>
    <t>'],</t>
  </si>
  <si>
    <t>int(11)</t>
  </si>
  <si>
    <t>TABLE</t>
  </si>
  <si>
    <t xml:space="preserve">INSERT INTO </t>
  </si>
  <si>
    <t>(</t>
  </si>
  <si>
    <t>)</t>
  </si>
  <si>
    <t xml:space="preserve">VALUES </t>
  </si>
  <si>
    <t>public $usr_id</t>
  </si>
  <si>
    <t>public $usr_name</t>
  </si>
  <si>
    <t>public $usr_phone</t>
  </si>
  <si>
    <t>public $usr_email</t>
  </si>
  <si>
    <t>public $usr_address</t>
  </si>
  <si>
    <t>public $usr_zip</t>
  </si>
  <si>
    <t>varchar(3)</t>
  </si>
  <si>
    <t xml:space="preserve">event_photos </t>
  </si>
  <si>
    <t>ev_id</t>
  </si>
  <si>
    <t>ev_name</t>
  </si>
  <si>
    <t>varchar(800)</t>
  </si>
  <si>
    <t>ev_description</t>
  </si>
  <si>
    <t>varchar(3000)</t>
  </si>
  <si>
    <t>ev_startdate</t>
  </si>
  <si>
    <t>date</t>
  </si>
  <si>
    <t>ev_enddate</t>
  </si>
  <si>
    <t>ev_place</t>
  </si>
  <si>
    <t>varchar(60)</t>
  </si>
  <si>
    <t>ev_published</t>
  </si>
  <si>
    <t>tinyint(2)</t>
  </si>
  <si>
    <t>ev_lat</t>
  </si>
  <si>
    <t>decimal(25,22)</t>
  </si>
  <si>
    <t>ev_lon</t>
  </si>
  <si>
    <t>ev_cost</t>
  </si>
  <si>
    <t>decimal(5,3)</t>
  </si>
  <si>
    <t>ev_sorter</t>
  </si>
  <si>
    <t>ev_subcat</t>
  </si>
  <si>
    <t>int(2)</t>
  </si>
  <si>
    <t>events</t>
  </si>
  <si>
    <t>ev_id, ev_name, ev_description, ev_startdate, ev_enddate, ev_place, ev_published, ev_lat, ev_lon, ev_cost, ev_sorter, ev_subcat</t>
  </si>
  <si>
    <t>$ev_id, '$ev_name', '$ev_description', '$ev_startdate', '$ev_enddate', '$ev_place'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</si>
</sst>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sz val="11"/>
      <color rgb="FF000000"/>
      <name val="Calibri"/>
      <family val="2"/>
      <charset val="16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1" fillId="0" borderId="0" xfId="0" applyFont="1"/>
    <xf numFmtId="0" fontId="0" fillId="0" borderId="0" xfId="0" applyAlignment="1">
      <alignment vertical="center" wrapText="1"/>
    </xf>
  </cellXfs>
  <cellStyles count="1">
    <cellStyle name="Κανονικό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361950</xdr:colOff>
          <xdr:row>5</xdr:row>
          <xdr:rowOff>114300</xdr:rowOff>
        </xdr:from>
        <xdr:to>
          <xdr:col>14</xdr:col>
          <xdr:colOff>57150</xdr:colOff>
          <xdr:row>7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SQL 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4</xdr:row>
          <xdr:rowOff>47625</xdr:rowOff>
        </xdr:from>
        <xdr:to>
          <xdr:col>3</xdr:col>
          <xdr:colOff>1876425</xdr:colOff>
          <xdr:row>5</xdr:row>
          <xdr:rowOff>161925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INSERT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Φύλλο1"/>
  <dimension ref="A1:B13"/>
  <sheetViews>
    <sheetView workbookViewId="0">
      <selection activeCell="B2" sqref="B2"/>
    </sheetView>
  </sheetViews>
  <sheetFormatPr defaultRowHeight="15" x14ac:dyDescent="0.25"/>
  <cols>
    <col min="1" max="1" width="16" customWidth="1"/>
    <col min="2" max="2" width="21" customWidth="1"/>
  </cols>
  <sheetData>
    <row r="1" spans="1:2" x14ac:dyDescent="0.25">
      <c r="A1" t="s">
        <v>7</v>
      </c>
      <c r="B1" s="2" t="s">
        <v>40</v>
      </c>
    </row>
    <row r="2" spans="1:2" x14ac:dyDescent="0.25">
      <c r="A2" s="3" t="s">
        <v>20</v>
      </c>
      <c r="B2" s="3" t="s">
        <v>6</v>
      </c>
    </row>
    <row r="3" spans="1:2" x14ac:dyDescent="0.25">
      <c r="A3" s="3" t="s">
        <v>21</v>
      </c>
      <c r="B3" s="3" t="s">
        <v>22</v>
      </c>
    </row>
    <row r="4" spans="1:2" x14ac:dyDescent="0.25">
      <c r="A4" s="3" t="s">
        <v>23</v>
      </c>
      <c r="B4" s="3" t="s">
        <v>24</v>
      </c>
    </row>
    <row r="5" spans="1:2" x14ac:dyDescent="0.25">
      <c r="A5" s="3" t="s">
        <v>25</v>
      </c>
      <c r="B5" s="3" t="s">
        <v>26</v>
      </c>
    </row>
    <row r="6" spans="1:2" x14ac:dyDescent="0.25">
      <c r="A6" s="3" t="s">
        <v>27</v>
      </c>
      <c r="B6" s="3" t="s">
        <v>26</v>
      </c>
    </row>
    <row r="7" spans="1:2" x14ac:dyDescent="0.25">
      <c r="A7" s="3" t="s">
        <v>28</v>
      </c>
      <c r="B7" s="3" t="s">
        <v>29</v>
      </c>
    </row>
    <row r="8" spans="1:2" x14ac:dyDescent="0.25">
      <c r="A8" s="3" t="s">
        <v>30</v>
      </c>
      <c r="B8" s="3" t="s">
        <v>31</v>
      </c>
    </row>
    <row r="9" spans="1:2" x14ac:dyDescent="0.25">
      <c r="A9" s="3" t="s">
        <v>32</v>
      </c>
      <c r="B9" s="3" t="s">
        <v>33</v>
      </c>
    </row>
    <row r="10" spans="1:2" x14ac:dyDescent="0.25">
      <c r="A10" s="3" t="s">
        <v>34</v>
      </c>
      <c r="B10" s="3" t="s">
        <v>33</v>
      </c>
    </row>
    <row r="11" spans="1:2" x14ac:dyDescent="0.25">
      <c r="A11" s="3" t="s">
        <v>35</v>
      </c>
      <c r="B11" s="3" t="s">
        <v>36</v>
      </c>
    </row>
    <row r="12" spans="1:2" x14ac:dyDescent="0.25">
      <c r="A12" s="3" t="s">
        <v>37</v>
      </c>
      <c r="B12" s="3" t="s">
        <v>18</v>
      </c>
    </row>
    <row r="13" spans="1:2" x14ac:dyDescent="0.25">
      <c r="A13" s="3" t="s">
        <v>38</v>
      </c>
      <c r="B13" s="3" t="s">
        <v>39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Φύλλο2"/>
  <dimension ref="A1:G13"/>
  <sheetViews>
    <sheetView topLeftCell="A2" workbookViewId="0">
      <selection activeCell="F12" sqref="F12"/>
    </sheetView>
  </sheetViews>
  <sheetFormatPr defaultRowHeight="15" x14ac:dyDescent="0.25"/>
  <cols>
    <col min="1" max="1" width="14.28515625" bestFit="1" customWidth="1"/>
    <col min="2" max="2" width="15.28515625" bestFit="1" customWidth="1"/>
    <col min="3" max="3" width="23.42578125" bestFit="1" customWidth="1"/>
    <col min="4" max="4" width="40.5703125" bestFit="1" customWidth="1"/>
    <col min="5" max="5" width="37.28515625" bestFit="1" customWidth="1"/>
    <col min="6" max="6" width="55" bestFit="1" customWidth="1"/>
  </cols>
  <sheetData>
    <row r="1" spans="1:7" s="2" customFormat="1" x14ac:dyDescent="0.25">
      <c r="B1" s="2" t="s">
        <v>0</v>
      </c>
      <c r="C1" s="2" t="s">
        <v>1</v>
      </c>
      <c r="D1" s="2" t="s">
        <v>2</v>
      </c>
    </row>
    <row r="2" spans="1:7" x14ac:dyDescent="0.25">
      <c r="A2" t="str">
        <f>TableColumns!A2</f>
        <v>ev_id</v>
      </c>
      <c r="B2" t="str">
        <f>CONCATENATE("$",A2)</f>
        <v>$ev_id</v>
      </c>
      <c r="C2" t="str">
        <f>CONCATENATE("$_POST['",A2,"']")</f>
        <v>$_POST['ev_id']</v>
      </c>
      <c r="D2" t="str">
        <f>CONCATENATE(B2," = ",C2,";")</f>
        <v>$ev_id = $_POST['ev_id'];</v>
      </c>
      <c r="E2" t="str">
        <f>CONCATENATE(B2," = ","row['",A2,"'];")</f>
        <v>$ev_id = row['ev_id'];</v>
      </c>
      <c r="F2" t="str">
        <f>CONCATENATE("&lt;?php if (isset(",B2,")) echo (",B2,"); ?&gt;")</f>
        <v>&lt;?php if (isset($ev_id)) echo ($ev_id); ?&gt;</v>
      </c>
      <c r="G2" t="s">
        <v>12</v>
      </c>
    </row>
    <row r="3" spans="1:7" x14ac:dyDescent="0.25">
      <c r="A3" t="str">
        <f>TableColumns!A3</f>
        <v>ev_name</v>
      </c>
      <c r="B3" t="str">
        <f t="shared" ref="B3:B11" si="0">CONCATENATE("$",A3)</f>
        <v>$ev_name</v>
      </c>
      <c r="C3" t="str">
        <f t="shared" ref="C3:C11" si="1">CONCATENATE("$_POST['",A3,"']")</f>
        <v>$_POST['ev_name']</v>
      </c>
      <c r="D3" t="str">
        <f t="shared" ref="D3:D11" si="2">CONCATENATE(B3," = ",C3,";")</f>
        <v>$ev_name = $_POST['ev_name'];</v>
      </c>
      <c r="E3" t="str">
        <f t="shared" ref="E3:E13" si="3">CONCATENATE(B3," = ","row['",A3,"'];")</f>
        <v>$ev_name = row['ev_name'];</v>
      </c>
      <c r="F3" t="str">
        <f t="shared" ref="F3:F13" si="4">CONCATENATE("&lt;?php if (isset(",B3,")) echo (",B3,"); ?&gt;")</f>
        <v>&lt;?php if (isset($ev_name)) echo ($ev_name); ?&gt;</v>
      </c>
      <c r="G3" t="s">
        <v>13</v>
      </c>
    </row>
    <row r="4" spans="1:7" x14ac:dyDescent="0.25">
      <c r="A4" t="str">
        <f>TableColumns!A4</f>
        <v>ev_description</v>
      </c>
      <c r="B4" t="str">
        <f t="shared" si="0"/>
        <v>$ev_description</v>
      </c>
      <c r="C4" t="str">
        <f t="shared" si="1"/>
        <v>$_POST['ev_description']</v>
      </c>
      <c r="D4" t="str">
        <f t="shared" si="2"/>
        <v>$ev_description = $_POST['ev_description'];</v>
      </c>
      <c r="E4" t="str">
        <f t="shared" si="3"/>
        <v>$ev_description = row['ev_description'];</v>
      </c>
      <c r="F4" t="str">
        <f t="shared" si="4"/>
        <v>&lt;?php if (isset($ev_description)) echo ($ev_description); ?&gt;</v>
      </c>
      <c r="G4" t="s">
        <v>14</v>
      </c>
    </row>
    <row r="5" spans="1:7" x14ac:dyDescent="0.25">
      <c r="A5" t="str">
        <f>TableColumns!A5</f>
        <v>ev_startdate</v>
      </c>
      <c r="B5" t="str">
        <f t="shared" si="0"/>
        <v>$ev_startdate</v>
      </c>
      <c r="C5" t="str">
        <f t="shared" si="1"/>
        <v>$_POST['ev_startdate']</v>
      </c>
      <c r="D5" t="str">
        <f t="shared" si="2"/>
        <v>$ev_startdate = $_POST['ev_startdate'];</v>
      </c>
      <c r="E5" t="str">
        <f t="shared" si="3"/>
        <v>$ev_startdate = row['ev_startdate'];</v>
      </c>
      <c r="F5" t="str">
        <f t="shared" si="4"/>
        <v>&lt;?php if (isset($ev_startdate)) echo ($ev_startdate); ?&gt;</v>
      </c>
      <c r="G5" t="s">
        <v>15</v>
      </c>
    </row>
    <row r="6" spans="1:7" x14ac:dyDescent="0.25">
      <c r="A6" t="str">
        <f>TableColumns!A6</f>
        <v>ev_enddate</v>
      </c>
      <c r="B6" t="str">
        <f t="shared" si="0"/>
        <v>$ev_enddate</v>
      </c>
      <c r="C6" t="str">
        <f t="shared" si="1"/>
        <v>$_POST['ev_enddate']</v>
      </c>
      <c r="D6" t="str">
        <f t="shared" si="2"/>
        <v>$ev_enddate = $_POST['ev_enddate'];</v>
      </c>
      <c r="E6" t="str">
        <f t="shared" si="3"/>
        <v>$ev_enddate = row['ev_enddate'];</v>
      </c>
      <c r="F6" t="str">
        <f t="shared" si="4"/>
        <v>&lt;?php if (isset($ev_enddate)) echo ($ev_enddate); ?&gt;</v>
      </c>
      <c r="G6" t="s">
        <v>16</v>
      </c>
    </row>
    <row r="7" spans="1:7" x14ac:dyDescent="0.25">
      <c r="A7" t="str">
        <f>TableColumns!A7</f>
        <v>ev_place</v>
      </c>
      <c r="B7" t="str">
        <f t="shared" si="0"/>
        <v>$ev_place</v>
      </c>
      <c r="C7" t="str">
        <f t="shared" si="1"/>
        <v>$_POST['ev_place']</v>
      </c>
      <c r="D7" t="str">
        <f t="shared" si="2"/>
        <v>$ev_place = $_POST['ev_place'];</v>
      </c>
      <c r="E7" t="str">
        <f t="shared" si="3"/>
        <v>$ev_place = row['ev_place'];</v>
      </c>
      <c r="F7" t="str">
        <f t="shared" si="4"/>
        <v>&lt;?php if (isset($ev_place)) echo ($ev_place); ?&gt;</v>
      </c>
      <c r="G7" t="s">
        <v>17</v>
      </c>
    </row>
    <row r="8" spans="1:7" x14ac:dyDescent="0.25">
      <c r="A8" t="str">
        <f>TableColumns!A8</f>
        <v>ev_published</v>
      </c>
      <c r="B8" t="str">
        <f t="shared" ref="B8:B14" si="5">CONCATENATE("$",A8)</f>
        <v>$ev_published</v>
      </c>
      <c r="C8" t="str">
        <f t="shared" ref="C8:C14" si="6">CONCATENATE("$_POST['",A8,"']")</f>
        <v>$_POST['ev_published']</v>
      </c>
      <c r="D8" t="str">
        <f t="shared" ref="D8:D14" si="7">CONCATENATE(B8," = ",C8,";")</f>
        <v>$ev_published = $_POST['ev_published'];</v>
      </c>
      <c r="E8" t="str">
        <f t="shared" si="3"/>
        <v>$ev_published = row['ev_published'];</v>
      </c>
      <c r="F8" t="str">
        <f t="shared" si="4"/>
        <v>&lt;?php if (isset($ev_published)) echo ($ev_published); ?&gt;</v>
      </c>
      <c r="G8" t="s">
        <v>17</v>
      </c>
    </row>
    <row r="9" spans="1:7" x14ac:dyDescent="0.25">
      <c r="A9" t="str">
        <f>TableColumns!A9</f>
        <v>ev_lat</v>
      </c>
      <c r="B9" t="str">
        <f t="shared" si="5"/>
        <v>$ev_lat</v>
      </c>
      <c r="C9" t="str">
        <f t="shared" si="6"/>
        <v>$_POST['ev_lat']</v>
      </c>
      <c r="D9" t="str">
        <f t="shared" si="7"/>
        <v>$ev_lat = $_POST['ev_lat'];</v>
      </c>
      <c r="E9" t="str">
        <f t="shared" si="3"/>
        <v>$ev_lat = row['ev_lat'];</v>
      </c>
      <c r="F9" t="str">
        <f t="shared" si="4"/>
        <v>&lt;?php if (isset($ev_lat)) echo ($ev_lat); ?&gt;</v>
      </c>
      <c r="G9" t="s">
        <v>17</v>
      </c>
    </row>
    <row r="10" spans="1:7" x14ac:dyDescent="0.25">
      <c r="A10" t="str">
        <f>TableColumns!A10</f>
        <v>ev_lon</v>
      </c>
      <c r="B10" t="str">
        <f t="shared" si="5"/>
        <v>$ev_lon</v>
      </c>
      <c r="C10" t="str">
        <f t="shared" si="6"/>
        <v>$_POST['ev_lon']</v>
      </c>
      <c r="D10" t="str">
        <f t="shared" si="7"/>
        <v>$ev_lon = $_POST['ev_lon'];</v>
      </c>
      <c r="E10" t="str">
        <f t="shared" si="3"/>
        <v>$ev_lon = row['ev_lon'];</v>
      </c>
      <c r="F10" t="str">
        <f t="shared" si="4"/>
        <v>&lt;?php if (isset($ev_lon)) echo ($ev_lon); ?&gt;</v>
      </c>
      <c r="G10" t="s">
        <v>17</v>
      </c>
    </row>
    <row r="11" spans="1:7" x14ac:dyDescent="0.25">
      <c r="A11" t="str">
        <f>TableColumns!A11</f>
        <v>ev_cost</v>
      </c>
      <c r="B11" t="str">
        <f t="shared" si="5"/>
        <v>$ev_cost</v>
      </c>
      <c r="C11" t="str">
        <f t="shared" si="6"/>
        <v>$_POST['ev_cost']</v>
      </c>
      <c r="D11" t="str">
        <f t="shared" si="7"/>
        <v>$ev_cost = $_POST['ev_cost'];</v>
      </c>
      <c r="E11" t="str">
        <f t="shared" si="3"/>
        <v>$ev_cost = row['ev_cost'];</v>
      </c>
      <c r="F11" t="str">
        <f t="shared" si="4"/>
        <v>&lt;?php if (isset($ev_cost)) echo ($ev_cost); ?&gt;</v>
      </c>
      <c r="G11" t="s">
        <v>17</v>
      </c>
    </row>
    <row r="12" spans="1:7" x14ac:dyDescent="0.25">
      <c r="A12" t="str">
        <f>TableColumns!A12</f>
        <v>ev_sorter</v>
      </c>
      <c r="B12" t="str">
        <f t="shared" si="5"/>
        <v>$ev_sorter</v>
      </c>
      <c r="C12" t="str">
        <f t="shared" si="6"/>
        <v>$_POST['ev_sorter']</v>
      </c>
      <c r="D12" t="str">
        <f t="shared" si="7"/>
        <v>$ev_sorter = $_POST['ev_sorter'];</v>
      </c>
      <c r="E12" t="str">
        <f t="shared" si="3"/>
        <v>$ev_sorter = row['ev_sorter'];</v>
      </c>
      <c r="F12" t="str">
        <f t="shared" si="4"/>
        <v>&lt;?php if (isset($ev_sorter)) echo ($ev_sorter); ?&gt;</v>
      </c>
      <c r="G12" t="s">
        <v>17</v>
      </c>
    </row>
    <row r="13" spans="1:7" x14ac:dyDescent="0.25">
      <c r="A13" t="str">
        <f>TableColumns!A13</f>
        <v>ev_subcat</v>
      </c>
      <c r="B13" t="str">
        <f t="shared" si="5"/>
        <v>$ev_subcat</v>
      </c>
      <c r="C13" t="str">
        <f t="shared" si="6"/>
        <v>$_POST['ev_subcat']</v>
      </c>
      <c r="D13" t="str">
        <f t="shared" si="7"/>
        <v>$ev_subcat = $_POST['ev_subcat'];</v>
      </c>
      <c r="E13" t="str">
        <f t="shared" si="3"/>
        <v>$ev_subcat = row['ev_subcat'];</v>
      </c>
      <c r="F13" t="str">
        <f t="shared" si="4"/>
        <v>&lt;?php if (isset($ev_subcat)) echo ($ev_subcat); ?&gt;</v>
      </c>
      <c r="G13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Φύλλο3"/>
  <dimension ref="A1:G13"/>
  <sheetViews>
    <sheetView tabSelected="1" workbookViewId="0">
      <selection activeCell="A13" sqref="A13:XFD13"/>
    </sheetView>
  </sheetViews>
  <sheetFormatPr defaultRowHeight="15" x14ac:dyDescent="0.25"/>
  <cols>
    <col min="1" max="1" width="1.85546875" bestFit="1" customWidth="1"/>
    <col min="2" max="2" width="4.85546875" bestFit="1" customWidth="1"/>
    <col min="3" max="3" width="10.28515625" bestFit="1" customWidth="1"/>
    <col min="4" max="4" width="4.85546875" bestFit="1" customWidth="1"/>
    <col min="7" max="7" width="40.140625" bestFit="1" customWidth="1"/>
  </cols>
  <sheetData>
    <row r="1" spans="1:7" x14ac:dyDescent="0.25">
      <c r="A1" t="s">
        <v>3</v>
      </c>
      <c r="B1" t="str">
        <f>TableColumns!A2</f>
        <v>ev_id</v>
      </c>
      <c r="C1" t="s">
        <v>4</v>
      </c>
      <c r="D1" t="str">
        <f>TableColumns!A2</f>
        <v>ev_id</v>
      </c>
      <c r="E1" s="1" t="s">
        <v>5</v>
      </c>
      <c r="G1" t="str">
        <f>CONCATENATE(A1,B1,C1,D1,E1)</f>
        <v>"ev_id" =&gt; $row['ev_id'],</v>
      </c>
    </row>
    <row r="2" spans="1:7" x14ac:dyDescent="0.25">
      <c r="A2" t="s">
        <v>3</v>
      </c>
      <c r="B2" t="str">
        <f>TableColumns!A3</f>
        <v>ev_name</v>
      </c>
      <c r="C2" t="s">
        <v>4</v>
      </c>
      <c r="D2" t="str">
        <f>TableColumns!A3</f>
        <v>ev_name</v>
      </c>
      <c r="E2" s="1" t="s">
        <v>5</v>
      </c>
      <c r="G2" t="str">
        <f t="shared" ref="G2:G10" si="0">CONCATENATE(A2,B2,C2,D2,E2)</f>
        <v>"ev_name" =&gt; $row['ev_name'],</v>
      </c>
    </row>
    <row r="3" spans="1:7" x14ac:dyDescent="0.25">
      <c r="A3" t="s">
        <v>3</v>
      </c>
      <c r="B3" t="str">
        <f>TableColumns!A4</f>
        <v>ev_description</v>
      </c>
      <c r="C3" t="s">
        <v>4</v>
      </c>
      <c r="D3" t="str">
        <f>TableColumns!A4</f>
        <v>ev_description</v>
      </c>
      <c r="E3" s="1" t="s">
        <v>5</v>
      </c>
      <c r="G3" t="str">
        <f t="shared" si="0"/>
        <v>"ev_description" =&gt; $row['ev_description'],</v>
      </c>
    </row>
    <row r="4" spans="1:7" x14ac:dyDescent="0.25">
      <c r="A4" t="s">
        <v>3</v>
      </c>
      <c r="B4" t="str">
        <f>TableColumns!A5</f>
        <v>ev_startdate</v>
      </c>
      <c r="C4" t="s">
        <v>4</v>
      </c>
      <c r="D4" t="str">
        <f>TableColumns!A5</f>
        <v>ev_startdate</v>
      </c>
      <c r="E4" s="1" t="s">
        <v>5</v>
      </c>
      <c r="G4" t="str">
        <f t="shared" si="0"/>
        <v>"ev_startdate" =&gt; $row['ev_startdate'],</v>
      </c>
    </row>
    <row r="5" spans="1:7" x14ac:dyDescent="0.25">
      <c r="A5" t="s">
        <v>3</v>
      </c>
      <c r="B5" t="str">
        <f>TableColumns!A6</f>
        <v>ev_enddate</v>
      </c>
      <c r="C5" t="s">
        <v>4</v>
      </c>
      <c r="D5" t="str">
        <f>TableColumns!A6</f>
        <v>ev_enddate</v>
      </c>
      <c r="E5" s="1" t="s">
        <v>5</v>
      </c>
      <c r="G5" t="str">
        <f t="shared" si="0"/>
        <v>"ev_enddate" =&gt; $row['ev_enddate'],</v>
      </c>
    </row>
    <row r="6" spans="1:7" x14ac:dyDescent="0.25">
      <c r="A6" t="s">
        <v>3</v>
      </c>
      <c r="B6" t="str">
        <f>TableColumns!A7</f>
        <v>ev_place</v>
      </c>
      <c r="C6" t="s">
        <v>4</v>
      </c>
      <c r="D6" t="str">
        <f>TableColumns!A7</f>
        <v>ev_place</v>
      </c>
      <c r="E6" s="1" t="s">
        <v>5</v>
      </c>
      <c r="G6" t="str">
        <f t="shared" si="0"/>
        <v>"ev_place" =&gt; $row['ev_place'],</v>
      </c>
    </row>
    <row r="7" spans="1:7" x14ac:dyDescent="0.25">
      <c r="A7" t="s">
        <v>3</v>
      </c>
      <c r="B7" t="str">
        <f>TableColumns!A8</f>
        <v>ev_published</v>
      </c>
      <c r="C7" t="s">
        <v>4</v>
      </c>
      <c r="D7" t="str">
        <f>TableColumns!A8</f>
        <v>ev_published</v>
      </c>
      <c r="E7" s="1" t="s">
        <v>5</v>
      </c>
      <c r="G7" t="str">
        <f t="shared" ref="G7:G13" si="1">CONCATENATE(A7,B7,C7,D7,E7)</f>
        <v>"ev_published" =&gt; $row['ev_published'],</v>
      </c>
    </row>
    <row r="8" spans="1:7" x14ac:dyDescent="0.25">
      <c r="A8" t="s">
        <v>3</v>
      </c>
      <c r="B8" t="str">
        <f>TableColumns!A9</f>
        <v>ev_lat</v>
      </c>
      <c r="C8" t="s">
        <v>4</v>
      </c>
      <c r="D8" t="str">
        <f>TableColumns!A9</f>
        <v>ev_lat</v>
      </c>
      <c r="E8" s="1" t="s">
        <v>5</v>
      </c>
      <c r="G8" t="str">
        <f t="shared" si="1"/>
        <v>"ev_lat" =&gt; $row['ev_lat'],</v>
      </c>
    </row>
    <row r="9" spans="1:7" x14ac:dyDescent="0.25">
      <c r="A9" t="s">
        <v>3</v>
      </c>
      <c r="B9" t="str">
        <f>TableColumns!A10</f>
        <v>ev_lon</v>
      </c>
      <c r="C9" t="s">
        <v>4</v>
      </c>
      <c r="D9" t="str">
        <f>TableColumns!A10</f>
        <v>ev_lon</v>
      </c>
      <c r="E9" s="1" t="s">
        <v>5</v>
      </c>
      <c r="G9" t="str">
        <f t="shared" si="1"/>
        <v>"ev_lon" =&gt; $row['ev_lon'],</v>
      </c>
    </row>
    <row r="10" spans="1:7" x14ac:dyDescent="0.25">
      <c r="A10" t="s">
        <v>3</v>
      </c>
      <c r="B10" t="str">
        <f>TableColumns!A11</f>
        <v>ev_cost</v>
      </c>
      <c r="C10" t="s">
        <v>4</v>
      </c>
      <c r="D10" t="str">
        <f>TableColumns!A11</f>
        <v>ev_cost</v>
      </c>
      <c r="E10" s="1" t="s">
        <v>5</v>
      </c>
      <c r="G10" t="str">
        <f t="shared" si="1"/>
        <v>"ev_cost" =&gt; $row['ev_cost'],</v>
      </c>
    </row>
    <row r="11" spans="1:7" x14ac:dyDescent="0.25">
      <c r="A11" t="s">
        <v>3</v>
      </c>
      <c r="B11" t="str">
        <f>TableColumns!A12</f>
        <v>ev_sorter</v>
      </c>
      <c r="C11" t="s">
        <v>4</v>
      </c>
      <c r="D11" t="str">
        <f>TableColumns!A12</f>
        <v>ev_sorter</v>
      </c>
      <c r="E11" s="1" t="s">
        <v>5</v>
      </c>
      <c r="G11" t="str">
        <f t="shared" si="1"/>
        <v>"ev_sorter" =&gt; $row['ev_sorter'],</v>
      </c>
    </row>
    <row r="12" spans="1:7" x14ac:dyDescent="0.25">
      <c r="A12" t="s">
        <v>3</v>
      </c>
      <c r="B12" t="str">
        <f>TableColumns!A13</f>
        <v>ev_subcat</v>
      </c>
      <c r="C12" t="s">
        <v>4</v>
      </c>
      <c r="D12" t="str">
        <f>TableColumns!A13</f>
        <v>ev_subcat</v>
      </c>
      <c r="E12" s="1" t="s">
        <v>5</v>
      </c>
      <c r="G12" t="str">
        <f t="shared" si="1"/>
        <v>"ev_subcat" =&gt; $row['ev_subcat'],</v>
      </c>
    </row>
    <row r="13" spans="1:7" x14ac:dyDescent="0.25">
      <c r="A13" t="s">
        <v>3</v>
      </c>
      <c r="B13">
        <f>TableColumns!A14</f>
        <v>0</v>
      </c>
      <c r="C13" t="s">
        <v>4</v>
      </c>
      <c r="D13">
        <f>TableColumns!A14</f>
        <v>0</v>
      </c>
      <c r="E13" s="1" t="s">
        <v>5</v>
      </c>
      <c r="G13" t="str">
        <f t="shared" si="1"/>
        <v>"0" =&gt; $row['0'],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Φύλλο4"/>
  <dimension ref="A1:E12"/>
  <sheetViews>
    <sheetView workbookViewId="0">
      <selection activeCell="E1" sqref="E1:E12"/>
    </sheetView>
  </sheetViews>
  <sheetFormatPr defaultRowHeight="15" x14ac:dyDescent="0.25"/>
  <cols>
    <col min="1" max="1" width="17.28515625" bestFit="1" customWidth="1"/>
    <col min="2" max="2" width="18.42578125" customWidth="1"/>
    <col min="3" max="3" width="33.140625" bestFit="1" customWidth="1"/>
    <col min="5" max="5" width="62" bestFit="1" customWidth="1"/>
  </cols>
  <sheetData>
    <row r="1" spans="1:5" x14ac:dyDescent="0.25">
      <c r="A1" t="str">
        <f>CONCATENATE("$",TableColumns!A2," = ")</f>
        <v xml:space="preserve">$ev_id = </v>
      </c>
      <c r="B1" t="str">
        <f>IF(LEFT(TableColumns!B2,3) = "int","escape_numeric (","escape_alpha (")</f>
        <v>escape_numeric (</v>
      </c>
      <c r="C1" t="str">
        <f>IF(B1 = "escape_numeric (","$_POST['" &amp; TableColumns!A2 &amp; "'], null);","$conn, $_POST['" &amp; TableColumns!A2 &amp; "']);")</f>
        <v>$_POST['ev_id'], null);</v>
      </c>
      <c r="E1" t="str">
        <f>CONCATENATE(A1,B1,C1)</f>
        <v>$ev_id = escape_numeric ($_POST['ev_id'], null);</v>
      </c>
    </row>
    <row r="2" spans="1:5" x14ac:dyDescent="0.25">
      <c r="A2" t="str">
        <f>CONCATENATE("$",TableColumns!A3," = ")</f>
        <v xml:space="preserve">$ev_name = </v>
      </c>
      <c r="B2" t="str">
        <f>IF(LEFT(TableColumns!B3,3) = "int","escape_numeric (","escape_alpha (")</f>
        <v>escape_alpha (</v>
      </c>
      <c r="C2" t="str">
        <f>IF(B2 = "escape_numeric (","$_POST['" &amp; TableColumns!A3 &amp; "'], null);","$conn, $_POST['" &amp; TableColumns!A3 &amp; "']);")</f>
        <v>$conn, $_POST['ev_name']);</v>
      </c>
      <c r="E2" t="str">
        <f t="shared" ref="E2:E10" si="0">CONCATENATE(A2,B2,C2)</f>
        <v>$ev_name = escape_alpha ($conn, $_POST['ev_name']);</v>
      </c>
    </row>
    <row r="3" spans="1:5" x14ac:dyDescent="0.25">
      <c r="A3" t="str">
        <f>CONCATENATE("$",TableColumns!A4," = ")</f>
        <v xml:space="preserve">$ev_description = </v>
      </c>
      <c r="B3" t="str">
        <f>IF(LEFT(TableColumns!B4,3) = "int","escape_numeric (","escape_alpha (")</f>
        <v>escape_alpha (</v>
      </c>
      <c r="C3" t="str">
        <f>IF(B3 = "escape_numeric (","$_POST['" &amp; TableColumns!A4 &amp; "'], null);","$conn, $_POST['" &amp; TableColumns!A4 &amp; "']);")</f>
        <v>$conn, $_POST['ev_description']);</v>
      </c>
      <c r="E3" t="str">
        <f t="shared" si="0"/>
        <v>$ev_description = escape_alpha ($conn, $_POST['ev_description']);</v>
      </c>
    </row>
    <row r="4" spans="1:5" x14ac:dyDescent="0.25">
      <c r="A4" t="str">
        <f>CONCATENATE("$",TableColumns!A5," = ")</f>
        <v xml:space="preserve">$ev_startdate = </v>
      </c>
      <c r="B4" t="str">
        <f>IF(LEFT(TableColumns!B5,3) = "int","escape_numeric (","escape_alpha (")</f>
        <v>escape_alpha (</v>
      </c>
      <c r="C4" t="str">
        <f>IF(B4 = "escape_numeric (","$_POST['" &amp; TableColumns!A5 &amp; "'], null);","$conn, $_POST['" &amp; TableColumns!A5 &amp; "']);")</f>
        <v>$conn, $_POST['ev_startdate']);</v>
      </c>
      <c r="E4" t="str">
        <f t="shared" si="0"/>
        <v>$ev_startdate = escape_alpha ($conn, $_POST['ev_startdate']);</v>
      </c>
    </row>
    <row r="5" spans="1:5" x14ac:dyDescent="0.25">
      <c r="A5" t="str">
        <f>CONCATENATE("$",TableColumns!A6," = ")</f>
        <v xml:space="preserve">$ev_enddate = </v>
      </c>
      <c r="B5" t="str">
        <f>IF(LEFT(TableColumns!B6,3) = "int","escape_numeric (","escape_alpha (")</f>
        <v>escape_alpha (</v>
      </c>
      <c r="C5" t="str">
        <f>IF(B5 = "escape_numeric (","$_POST['" &amp; TableColumns!A6 &amp; "'], null);","$conn, $_POST['" &amp; TableColumns!A6 &amp; "']);")</f>
        <v>$conn, $_POST['ev_enddate']);</v>
      </c>
      <c r="E5" t="str">
        <f t="shared" si="0"/>
        <v>$ev_enddate = escape_alpha ($conn, $_POST['ev_enddate']);</v>
      </c>
    </row>
    <row r="6" spans="1:5" x14ac:dyDescent="0.25">
      <c r="A6" t="str">
        <f>CONCATENATE("$",TableColumns!A7," = ")</f>
        <v xml:space="preserve">$ev_place = </v>
      </c>
      <c r="B6" t="str">
        <f>IF(LEFT(TableColumns!B7,3) = "int","escape_numeric (","escape_alpha (")</f>
        <v>escape_alpha (</v>
      </c>
      <c r="C6" t="str">
        <f>IF(B6 = "escape_numeric (","$_POST['" &amp; TableColumns!A7 &amp; "'], null);","$conn, $_POST['" &amp; TableColumns!A7 &amp; "']);")</f>
        <v>$conn, $_POST['ev_place']);</v>
      </c>
      <c r="E6" t="str">
        <f t="shared" si="0"/>
        <v>$ev_place = escape_alpha ($conn, $_POST['ev_place']);</v>
      </c>
    </row>
    <row r="7" spans="1:5" x14ac:dyDescent="0.25">
      <c r="A7" t="str">
        <f>CONCATENATE("$",TableColumns!A8," = ")</f>
        <v xml:space="preserve">$ev_published = </v>
      </c>
      <c r="B7" t="str">
        <f>IF(LEFT(TableColumns!B8,3) = "int","escape_numeric (","escape_alpha (")</f>
        <v>escape_alpha (</v>
      </c>
      <c r="C7" t="str">
        <f>IF(B7 = "escape_numeric (","$_POST['" &amp; TableColumns!A8 &amp; "'], null);","$conn, $_POST['" &amp; TableColumns!A8 &amp; "']);")</f>
        <v>$conn, $_POST['ev_published']);</v>
      </c>
      <c r="E7" t="str">
        <f t="shared" ref="E7:E13" si="1">CONCATENATE(A7,B7,C7)</f>
        <v>$ev_published = escape_alpha ($conn, $_POST['ev_published']);</v>
      </c>
    </row>
    <row r="8" spans="1:5" x14ac:dyDescent="0.25">
      <c r="A8" t="str">
        <f>CONCATENATE("$",TableColumns!A9," = ")</f>
        <v xml:space="preserve">$ev_lat = </v>
      </c>
      <c r="B8" t="str">
        <f>IF(LEFT(TableColumns!B9,3) = "int","escape_numeric (","escape_alpha (")</f>
        <v>escape_alpha (</v>
      </c>
      <c r="C8" t="str">
        <f>IF(B8 = "escape_numeric (","$_POST['" &amp; TableColumns!A9 &amp; "'], null);","$conn, $_POST['" &amp; TableColumns!A9 &amp; "']);")</f>
        <v>$conn, $_POST['ev_lat']);</v>
      </c>
      <c r="E8" t="str">
        <f t="shared" si="1"/>
        <v>$ev_lat = escape_alpha ($conn, $_POST['ev_lat']);</v>
      </c>
    </row>
    <row r="9" spans="1:5" x14ac:dyDescent="0.25">
      <c r="A9" t="str">
        <f>CONCATENATE("$",TableColumns!A10," = ")</f>
        <v xml:space="preserve">$ev_lon = </v>
      </c>
      <c r="B9" t="str">
        <f>IF(LEFT(TableColumns!B10,3) = "int","escape_numeric (","escape_alpha (")</f>
        <v>escape_alpha (</v>
      </c>
      <c r="C9" t="str">
        <f>IF(B9 = "escape_numeric (","$_POST['" &amp; TableColumns!A10 &amp; "'], null);","$conn, $_POST['" &amp; TableColumns!A10 &amp; "']);")</f>
        <v>$conn, $_POST['ev_lon']);</v>
      </c>
      <c r="E9" t="str">
        <f t="shared" si="1"/>
        <v>$ev_lon = escape_alpha ($conn, $_POST['ev_lon']);</v>
      </c>
    </row>
    <row r="10" spans="1:5" x14ac:dyDescent="0.25">
      <c r="A10" t="str">
        <f>CONCATENATE("$",TableColumns!A11," = ")</f>
        <v xml:space="preserve">$ev_cost = </v>
      </c>
      <c r="B10" t="str">
        <f>IF(LEFT(TableColumns!B11,3) = "int","escape_numeric (","escape_alpha (")</f>
        <v>escape_alpha (</v>
      </c>
      <c r="C10" t="str">
        <f>IF(B10 = "escape_numeric (","$_POST['" &amp; TableColumns!A11 &amp; "'], null);","$conn, $_POST['" &amp; TableColumns!A11 &amp; "']);")</f>
        <v>$conn, $_POST['ev_cost']);</v>
      </c>
      <c r="E10" t="str">
        <f t="shared" si="1"/>
        <v>$ev_cost = escape_alpha ($conn, $_POST['ev_cost']);</v>
      </c>
    </row>
    <row r="11" spans="1:5" x14ac:dyDescent="0.25">
      <c r="A11" t="str">
        <f>CONCATENATE("$",TableColumns!A12," = ")</f>
        <v xml:space="preserve">$ev_sorter = </v>
      </c>
      <c r="B11" t="str">
        <f>IF(LEFT(TableColumns!B12,3) = "int","escape_numeric (","escape_alpha (")</f>
        <v>escape_alpha (</v>
      </c>
      <c r="C11" t="str">
        <f>IF(B11 = "escape_numeric (","$_POST['" &amp; TableColumns!A12 &amp; "'], null);","$conn, $_POST['" &amp; TableColumns!A12 &amp; "']);")</f>
        <v>$conn, $_POST['ev_sorter']);</v>
      </c>
      <c r="E11" t="str">
        <f t="shared" si="1"/>
        <v>$ev_sorter = escape_alpha ($conn, $_POST['ev_sorter']);</v>
      </c>
    </row>
    <row r="12" spans="1:5" x14ac:dyDescent="0.25">
      <c r="A12" t="str">
        <f>CONCATENATE("$",TableColumns!A13," = ")</f>
        <v xml:space="preserve">$ev_subcat = </v>
      </c>
      <c r="B12" t="str">
        <f>IF(LEFT(TableColumns!B13,3) = "int","escape_numeric (","escape_alpha (")</f>
        <v>escape_numeric (</v>
      </c>
      <c r="C12" t="str">
        <f>IF(B12 = "escape_numeric (","$_POST['" &amp; TableColumns!A13 &amp; "'], null);","$conn, $_POST['" &amp; TableColumns!A13 &amp; "']);")</f>
        <v>$_POST['ev_subcat'], null);</v>
      </c>
      <c r="E12" t="str">
        <f t="shared" si="1"/>
        <v>$ev_subcat = escape_numeric ($_POST['ev_subcat'], null);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Φύλλο5"/>
  <dimension ref="A1:R15"/>
  <sheetViews>
    <sheetView workbookViewId="0">
      <selection activeCell="B1" sqref="B1"/>
    </sheetView>
  </sheetViews>
  <sheetFormatPr defaultRowHeight="15" x14ac:dyDescent="0.25"/>
  <cols>
    <col min="1" max="1" width="15.28515625" customWidth="1"/>
    <col min="2" max="2" width="16.28515625" customWidth="1"/>
    <col min="3" max="3" width="1.7109375" bestFit="1" customWidth="1"/>
    <col min="4" max="4" width="108.140625" bestFit="1" customWidth="1"/>
  </cols>
  <sheetData>
    <row r="1" spans="1:18" x14ac:dyDescent="0.25">
      <c r="A1" t="s">
        <v>8</v>
      </c>
      <c r="B1" t="s">
        <v>19</v>
      </c>
      <c r="C1" t="s">
        <v>9</v>
      </c>
      <c r="D1" t="s">
        <v>41</v>
      </c>
      <c r="E1" t="s">
        <v>10</v>
      </c>
      <c r="R1" t="s">
        <v>10</v>
      </c>
    </row>
    <row r="2" spans="1:18" x14ac:dyDescent="0.25">
      <c r="B2" t="s">
        <v>11</v>
      </c>
      <c r="C2" t="s">
        <v>9</v>
      </c>
      <c r="D2" t="s">
        <v>42</v>
      </c>
      <c r="E2" t="s">
        <v>10</v>
      </c>
    </row>
    <row r="4" spans="1:18" x14ac:dyDescent="0.25">
      <c r="A4" t="str">
        <f>IF(LEFT(TableColumns!B2,3) = "int",'Assign to variables'!B2,"'" &amp; 'Assign to variables'!B2 &amp; "'")</f>
        <v>$ev_id</v>
      </c>
    </row>
    <row r="5" spans="1:18" x14ac:dyDescent="0.25">
      <c r="A5" t="str">
        <f>IF(LEFT(TableColumns!B3,3) = "int",'Assign to variables'!B3,"'" &amp; 'Assign to variables'!B3 &amp; "'")</f>
        <v>'$ev_name'</v>
      </c>
    </row>
    <row r="6" spans="1:18" x14ac:dyDescent="0.25">
      <c r="A6" t="str">
        <f>IF(LEFT(TableColumns!B4,3) = "int",'Assign to variables'!B4,"'" &amp; 'Assign to variables'!B4 &amp; "'")</f>
        <v>'$ev_description'</v>
      </c>
      <c r="B6" s="1"/>
      <c r="C6" s="1"/>
    </row>
    <row r="7" spans="1:18" x14ac:dyDescent="0.25">
      <c r="A7" t="str">
        <f>IF(LEFT(TableColumns!B5,3) = "int",'Assign to variables'!B5,"'" &amp; 'Assign to variables'!B5 &amp; "'")</f>
        <v>'$ev_startdate'</v>
      </c>
      <c r="B7" s="1"/>
      <c r="C7" s="1"/>
    </row>
    <row r="8" spans="1:18" x14ac:dyDescent="0.25">
      <c r="A8" t="str">
        <f>IF(LEFT(TableColumns!B6,3) = "int",'Assign to variables'!B6,"'" &amp; 'Assign to variables'!B6 &amp; "'")</f>
        <v>'$ev_enddate'</v>
      </c>
      <c r="B8" s="1"/>
      <c r="C8" s="1"/>
    </row>
    <row r="9" spans="1:18" x14ac:dyDescent="0.25">
      <c r="A9" t="str">
        <f>IF(LEFT(TableColumns!B7,3) = "int",'Assign to variables'!B7,"'" &amp; 'Assign to variables'!B7 &amp; "'")</f>
        <v>'$ev_place'</v>
      </c>
      <c r="B9" s="1"/>
      <c r="C9" s="1"/>
    </row>
    <row r="10" spans="1:18" x14ac:dyDescent="0.25">
      <c r="B10" s="1"/>
      <c r="C10" s="1"/>
    </row>
    <row r="14" spans="1:18" x14ac:dyDescent="0.25">
      <c r="B14" s="1"/>
      <c r="C14" s="1"/>
    </row>
    <row r="15" spans="1:18" x14ac:dyDescent="0.25">
      <c r="B15" s="1"/>
      <c r="C15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reateSQLInsert">
                <anchor moveWithCells="1" sizeWithCells="1">
                  <from>
                    <xdr:col>11</xdr:col>
                    <xdr:colOff>361950</xdr:colOff>
                    <xdr:row>5</xdr:row>
                    <xdr:rowOff>114300</xdr:rowOff>
                  </from>
                  <to>
                    <xdr:col>14</xdr:col>
                    <xdr:colOff>57150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SQLInsert">
                <anchor moveWithCells="1" sizeWithCells="1">
                  <from>
                    <xdr:col>3</xdr:col>
                    <xdr:colOff>66675</xdr:colOff>
                    <xdr:row>4</xdr:row>
                    <xdr:rowOff>47625</xdr:rowOff>
                  </from>
                  <to>
                    <xdr:col>3</xdr:col>
                    <xdr:colOff>1876425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Φύλλα εργασίας</vt:lpstr>
      </vt:variant>
      <vt:variant>
        <vt:i4>5</vt:i4>
      </vt:variant>
    </vt:vector>
  </HeadingPairs>
  <TitlesOfParts>
    <vt:vector size="5" baseType="lpstr">
      <vt:lpstr>TableColumns</vt:lpstr>
      <vt:lpstr>Assign to variables</vt:lpstr>
      <vt:lpstr>API return array</vt:lpstr>
      <vt:lpstr>$_POST to vars</vt:lpstr>
      <vt:lpstr>INSERT INTO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Spyros Foundas</dc:creator>
  <cp:lastModifiedBy>Spyros Foundas</cp:lastModifiedBy>
  <dcterms:created xsi:type="dcterms:W3CDTF">2018-05-02T21:53:17Z</dcterms:created>
  <dcterms:modified xsi:type="dcterms:W3CDTF">2018-05-31T20:51:02Z</dcterms:modified>
</cp:coreProperties>
</file>