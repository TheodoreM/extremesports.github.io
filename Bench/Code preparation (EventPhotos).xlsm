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Αυτό_το_βιβλίο_εργασίας" defaultThemeVersion="124226"/>
  <bookViews>
    <workbookView xWindow="240" yWindow="60" windowWidth="20115" windowHeight="8010" activeTab="1"/>
  </bookViews>
  <sheets>
    <sheet name="TableColumns" sheetId="1" r:id="rId1"/>
    <sheet name="Assign to variables" sheetId="2" r:id="rId2"/>
    <sheet name="API return array" sheetId="3" r:id="rId3"/>
    <sheet name="$_POST to vars" sheetId="4" r:id="rId4"/>
    <sheet name="INSERT INTO" sheetId="5" r:id="rId5"/>
  </sheets>
  <calcPr calcId="145621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2" i="2"/>
  <c r="A8" i="2"/>
  <c r="B8" i="2" s="1"/>
  <c r="A9" i="2"/>
  <c r="C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D17" i="2" l="1"/>
  <c r="C17" i="2"/>
  <c r="C16" i="2"/>
  <c r="D16" i="2" s="1"/>
  <c r="C15" i="2"/>
  <c r="C14" i="2"/>
  <c r="D14" i="2" s="1"/>
  <c r="C13" i="2"/>
  <c r="D13" i="2" s="1"/>
  <c r="C12" i="2"/>
  <c r="D12" i="2" s="1"/>
  <c r="C11" i="2"/>
  <c r="D11" i="2" s="1"/>
  <c r="C10" i="2"/>
  <c r="D10" i="2" s="1"/>
  <c r="D15" i="2"/>
  <c r="C8" i="2"/>
  <c r="D8" i="2" s="1"/>
  <c r="B9" i="2"/>
  <c r="D9" i="2" s="1"/>
  <c r="B1" i="4"/>
  <c r="C1" i="4" s="1"/>
  <c r="B2" i="4"/>
  <c r="C2" i="4" s="1"/>
  <c r="B3" i="4"/>
  <c r="C3" i="4" s="1"/>
  <c r="B4" i="4"/>
  <c r="C4" i="4" s="1"/>
  <c r="B5" i="4"/>
  <c r="C5" i="4" s="1"/>
  <c r="B6" i="4"/>
  <c r="C6" i="4" s="1"/>
  <c r="A2" i="4"/>
  <c r="A3" i="4"/>
  <c r="E3" i="4" s="1"/>
  <c r="A4" i="4"/>
  <c r="A5" i="4"/>
  <c r="E5" i="4" s="1"/>
  <c r="A6" i="4"/>
  <c r="A1" i="4"/>
  <c r="E6" i="4" l="1"/>
  <c r="E4" i="4"/>
  <c r="E1" i="4"/>
  <c r="E2" i="4"/>
  <c r="D1" i="3"/>
  <c r="B2" i="3" l="1"/>
  <c r="D2" i="3"/>
  <c r="B3" i="3"/>
  <c r="D3" i="3"/>
  <c r="G3" i="3" s="1"/>
  <c r="B4" i="3"/>
  <c r="D4" i="3"/>
  <c r="B5" i="3"/>
  <c r="D5" i="3"/>
  <c r="B6" i="3"/>
  <c r="D6" i="3"/>
  <c r="B1" i="3"/>
  <c r="G1" i="3" s="1"/>
  <c r="G5" i="3" l="1"/>
  <c r="G4" i="3"/>
  <c r="G6" i="3"/>
  <c r="G2" i="3"/>
  <c r="A3" i="2"/>
  <c r="B3" i="2" s="1"/>
  <c r="A5" i="5" s="1"/>
  <c r="A4" i="2"/>
  <c r="B4" i="2" s="1"/>
  <c r="A6" i="5" s="1"/>
  <c r="A5" i="2"/>
  <c r="B5" i="2" s="1"/>
  <c r="A7" i="5" s="1"/>
  <c r="A6" i="2"/>
  <c r="B6" i="2" s="1"/>
  <c r="A8" i="5" s="1"/>
  <c r="A7" i="2"/>
  <c r="B7" i="2" s="1"/>
  <c r="A9" i="5" s="1"/>
  <c r="A2" i="2"/>
  <c r="C2" i="2" s="1"/>
  <c r="B2" i="2" l="1"/>
  <c r="C7" i="2"/>
  <c r="D7" i="2" s="1"/>
  <c r="C6" i="2"/>
  <c r="D6" i="2" s="1"/>
  <c r="C5" i="2"/>
  <c r="D5" i="2" s="1"/>
  <c r="C4" i="2"/>
  <c r="D4" i="2" s="1"/>
  <c r="C3" i="2"/>
  <c r="D3" i="2" s="1"/>
  <c r="D2" i="2" l="1"/>
  <c r="A4" i="5"/>
</calcChain>
</file>

<file path=xl/sharedStrings.xml><?xml version="1.0" encoding="utf-8"?>
<sst xmlns="http://schemas.openxmlformats.org/spreadsheetml/2006/main" count="81" uniqueCount="46">
  <si>
    <t>Variable</t>
  </si>
  <si>
    <t>$_POST</t>
  </si>
  <si>
    <t>Assignment</t>
  </si>
  <si>
    <t>"</t>
  </si>
  <si>
    <t>" =&gt; $row['</t>
  </si>
  <si>
    <t>'],</t>
  </si>
  <si>
    <t>int(11)</t>
  </si>
  <si>
    <t>TABLE</t>
  </si>
  <si>
    <t xml:space="preserve">INSERT INTO </t>
  </si>
  <si>
    <t>(</t>
  </si>
  <si>
    <t>)</t>
  </si>
  <si>
    <t xml:space="preserve">VALUES </t>
  </si>
  <si>
    <t>users</t>
  </si>
  <si>
    <t>public $usr_id</t>
  </si>
  <si>
    <t>public $usr_name</t>
  </si>
  <si>
    <t>public $usr_phone</t>
  </si>
  <si>
    <t>public $usr_email</t>
  </si>
  <si>
    <t>public $usr_address</t>
  </si>
  <si>
    <t>public $usr_zip</t>
  </si>
  <si>
    <t>ph_id, ph_ev_id, ph_photofile, ph_photocaption, ph_photosorter, ph_featured</t>
  </si>
  <si>
    <t>$ph_id, $ph_ev_id, '$ph_photofile', '$ph_photocaption', '$ph_photosorter', '$ph_featured'</t>
  </si>
  <si>
    <t xml:space="preserve">event_photos </t>
  </si>
  <si>
    <t>mmr_ID</t>
  </si>
  <si>
    <t>mmr_Lastname</t>
  </si>
  <si>
    <t>varchar(20)</t>
  </si>
  <si>
    <t>mmr_Firstname</t>
  </si>
  <si>
    <t>mmr_Mobile</t>
  </si>
  <si>
    <t>varchar(15)</t>
  </si>
  <si>
    <t>mmr_Email</t>
  </si>
  <si>
    <t>varchar(45)</t>
  </si>
  <si>
    <t>mmr_Com_Method</t>
  </si>
  <si>
    <t>tinyint(1)</t>
  </si>
  <si>
    <t>mmr_WebPage</t>
  </si>
  <si>
    <t>varchar(100)</t>
  </si>
  <si>
    <t>mmr_Facebook</t>
  </si>
  <si>
    <t>mmr_Birthday</t>
  </si>
  <si>
    <t>date</t>
  </si>
  <si>
    <t>mmr_Sex</t>
  </si>
  <si>
    <t>mmr_License</t>
  </si>
  <si>
    <t>mmr_Message</t>
  </si>
  <si>
    <t>text</t>
  </si>
  <si>
    <t>mmr_Photo</t>
  </si>
  <si>
    <t>mmr_Username</t>
  </si>
  <si>
    <t>mmr_Password</t>
  </si>
  <si>
    <t>mmr_Timestamp</t>
  </si>
  <si>
    <t>timestamp(5)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</si>
</sst>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5</xdr:row>
          <xdr:rowOff>114300</xdr:rowOff>
        </xdr:from>
        <xdr:to>
          <xdr:col>14</xdr:col>
          <xdr:colOff>57150</xdr:colOff>
          <xdr:row>7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 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47625</xdr:rowOff>
        </xdr:from>
        <xdr:to>
          <xdr:col>3</xdr:col>
          <xdr:colOff>1876425</xdr:colOff>
          <xdr:row>5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1"/>
  <dimension ref="A1:B17"/>
  <sheetViews>
    <sheetView workbookViewId="0">
      <selection activeCell="B6" sqref="B6"/>
    </sheetView>
  </sheetViews>
  <sheetFormatPr defaultRowHeight="15" x14ac:dyDescent="0.25"/>
  <cols>
    <col min="1" max="1" width="16" customWidth="1"/>
    <col min="2" max="2" width="12.85546875" bestFit="1" customWidth="1"/>
  </cols>
  <sheetData>
    <row r="1" spans="1:2" x14ac:dyDescent="0.25">
      <c r="A1" t="s">
        <v>7</v>
      </c>
      <c r="B1" s="2" t="s">
        <v>12</v>
      </c>
    </row>
    <row r="2" spans="1:2" x14ac:dyDescent="0.25">
      <c r="A2" t="s">
        <v>22</v>
      </c>
      <c r="B2" t="s">
        <v>6</v>
      </c>
    </row>
    <row r="3" spans="1:2" x14ac:dyDescent="0.25">
      <c r="A3" t="s">
        <v>23</v>
      </c>
      <c r="B3" t="s">
        <v>24</v>
      </c>
    </row>
    <row r="4" spans="1:2" x14ac:dyDescent="0.25">
      <c r="A4" t="s">
        <v>25</v>
      </c>
      <c r="B4" t="s">
        <v>24</v>
      </c>
    </row>
    <row r="5" spans="1:2" x14ac:dyDescent="0.25">
      <c r="A5" t="s">
        <v>26</v>
      </c>
      <c r="B5" t="s">
        <v>27</v>
      </c>
    </row>
    <row r="6" spans="1:2" x14ac:dyDescent="0.25">
      <c r="A6" t="s">
        <v>28</v>
      </c>
      <c r="B6" t="s">
        <v>29</v>
      </c>
    </row>
    <row r="7" spans="1:2" x14ac:dyDescent="0.25">
      <c r="A7" t="s">
        <v>30</v>
      </c>
      <c r="B7" t="s">
        <v>31</v>
      </c>
    </row>
    <row r="8" spans="1:2" x14ac:dyDescent="0.25">
      <c r="A8" t="s">
        <v>32</v>
      </c>
      <c r="B8" t="s">
        <v>33</v>
      </c>
    </row>
    <row r="9" spans="1:2" x14ac:dyDescent="0.25">
      <c r="A9" t="s">
        <v>34</v>
      </c>
      <c r="B9" t="s">
        <v>33</v>
      </c>
    </row>
    <row r="10" spans="1:2" x14ac:dyDescent="0.25">
      <c r="A10" t="s">
        <v>35</v>
      </c>
      <c r="B10" t="s">
        <v>36</v>
      </c>
    </row>
    <row r="11" spans="1:2" x14ac:dyDescent="0.25">
      <c r="A11" t="s">
        <v>37</v>
      </c>
      <c r="B11" t="s">
        <v>31</v>
      </c>
    </row>
    <row r="12" spans="1:2" x14ac:dyDescent="0.25">
      <c r="A12" t="s">
        <v>38</v>
      </c>
      <c r="B12" t="s">
        <v>31</v>
      </c>
    </row>
    <row r="13" spans="1:2" x14ac:dyDescent="0.25">
      <c r="A13" t="s">
        <v>39</v>
      </c>
      <c r="B13" t="s">
        <v>40</v>
      </c>
    </row>
    <row r="14" spans="1:2" x14ac:dyDescent="0.25">
      <c r="A14" t="s">
        <v>41</v>
      </c>
      <c r="B14" t="s">
        <v>29</v>
      </c>
    </row>
    <row r="15" spans="1:2" x14ac:dyDescent="0.25">
      <c r="A15" t="s">
        <v>42</v>
      </c>
      <c r="B15" t="s">
        <v>29</v>
      </c>
    </row>
    <row r="16" spans="1:2" x14ac:dyDescent="0.25">
      <c r="A16" t="s">
        <v>43</v>
      </c>
      <c r="B16" t="s">
        <v>24</v>
      </c>
    </row>
    <row r="17" spans="1:2" x14ac:dyDescent="0.25">
      <c r="A17" t="s">
        <v>44</v>
      </c>
      <c r="B17" t="s">
        <v>45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2"/>
  <dimension ref="A1:I17"/>
  <sheetViews>
    <sheetView tabSelected="1" workbookViewId="0">
      <selection activeCell="F2" sqref="F2:F17"/>
    </sheetView>
  </sheetViews>
  <sheetFormatPr defaultRowHeight="15" x14ac:dyDescent="0.25"/>
  <cols>
    <col min="1" max="1" width="14.28515625" bestFit="1" customWidth="1"/>
    <col min="2" max="2" width="15.28515625" bestFit="1" customWidth="1"/>
    <col min="3" max="3" width="23.42578125" bestFit="1" customWidth="1"/>
    <col min="4" max="4" width="40.5703125" bestFit="1" customWidth="1"/>
    <col min="6" max="6" width="42.42578125" bestFit="1" customWidth="1"/>
    <col min="7" max="8" width="42.42578125" customWidth="1"/>
  </cols>
  <sheetData>
    <row r="1" spans="1:9" s="2" customFormat="1" x14ac:dyDescent="0.25">
      <c r="B1" s="2" t="s">
        <v>0</v>
      </c>
      <c r="C1" s="2" t="s">
        <v>1</v>
      </c>
      <c r="D1" s="2" t="s">
        <v>2</v>
      </c>
    </row>
    <row r="2" spans="1:9" x14ac:dyDescent="0.25">
      <c r="A2" t="str">
        <f>TableColumns!A2</f>
        <v>mmr_ID</v>
      </c>
      <c r="B2" t="str">
        <f>CONCATENATE("$",A2)</f>
        <v>$mmr_ID</v>
      </c>
      <c r="C2" t="str">
        <f>CONCATENATE("$_POST['",A2,"']")</f>
        <v>$_POST['mmr_ID']</v>
      </c>
      <c r="D2" t="str">
        <f>CONCATENATE(B2," = ",C2,";")</f>
        <v>$mmr_ID = $_POST['mmr_ID'];</v>
      </c>
      <c r="F2" t="str">
        <f>CONCATENATE("this-&gt;",B2,"= $row['",A2,"'];")</f>
        <v>this-&gt;$mmr_ID= $row['mmr_ID'];</v>
      </c>
      <c r="I2" t="s">
        <v>13</v>
      </c>
    </row>
    <row r="3" spans="1:9" x14ac:dyDescent="0.25">
      <c r="A3" t="str">
        <f>TableColumns!A3</f>
        <v>mmr_Lastname</v>
      </c>
      <c r="B3" t="str">
        <f t="shared" ref="B3:B7" si="0">CONCATENATE("$",A3)</f>
        <v>$mmr_Lastname</v>
      </c>
      <c r="C3" t="str">
        <f t="shared" ref="C3:C7" si="1">CONCATENATE("$_POST['",A3,"']")</f>
        <v>$_POST['mmr_Lastname']</v>
      </c>
      <c r="D3" t="str">
        <f t="shared" ref="D3:D7" si="2">CONCATENATE(B3," = ",C3,";")</f>
        <v>$mmr_Lastname = $_POST['mmr_Lastname'];</v>
      </c>
      <c r="F3" t="str">
        <f t="shared" ref="F3:F17" si="3">CONCATENATE("this-&gt;",B3,"= $row['",A3,"'];")</f>
        <v>this-&gt;$mmr_Lastname= $row['mmr_Lastname'];</v>
      </c>
      <c r="I3" t="s">
        <v>14</v>
      </c>
    </row>
    <row r="4" spans="1:9" x14ac:dyDescent="0.25">
      <c r="A4" t="str">
        <f>TableColumns!A4</f>
        <v>mmr_Firstname</v>
      </c>
      <c r="B4" t="str">
        <f t="shared" si="0"/>
        <v>$mmr_Firstname</v>
      </c>
      <c r="C4" t="str">
        <f t="shared" si="1"/>
        <v>$_POST['mmr_Firstname']</v>
      </c>
      <c r="D4" t="str">
        <f t="shared" si="2"/>
        <v>$mmr_Firstname = $_POST['mmr_Firstname'];</v>
      </c>
      <c r="F4" t="str">
        <f t="shared" si="3"/>
        <v>this-&gt;$mmr_Firstname= $row['mmr_Firstname'];</v>
      </c>
      <c r="I4" t="s">
        <v>15</v>
      </c>
    </row>
    <row r="5" spans="1:9" x14ac:dyDescent="0.25">
      <c r="A5" t="str">
        <f>TableColumns!A5</f>
        <v>mmr_Mobile</v>
      </c>
      <c r="B5" t="str">
        <f t="shared" si="0"/>
        <v>$mmr_Mobile</v>
      </c>
      <c r="C5" t="str">
        <f t="shared" si="1"/>
        <v>$_POST['mmr_Mobile']</v>
      </c>
      <c r="D5" t="str">
        <f t="shared" si="2"/>
        <v>$mmr_Mobile = $_POST['mmr_Mobile'];</v>
      </c>
      <c r="F5" t="str">
        <f t="shared" si="3"/>
        <v>this-&gt;$mmr_Mobile= $row['mmr_Mobile'];</v>
      </c>
      <c r="I5" t="s">
        <v>16</v>
      </c>
    </row>
    <row r="6" spans="1:9" x14ac:dyDescent="0.25">
      <c r="A6" t="str">
        <f>TableColumns!A6</f>
        <v>mmr_Email</v>
      </c>
      <c r="B6" t="str">
        <f t="shared" si="0"/>
        <v>$mmr_Email</v>
      </c>
      <c r="C6" t="str">
        <f t="shared" si="1"/>
        <v>$_POST['mmr_Email']</v>
      </c>
      <c r="D6" t="str">
        <f t="shared" si="2"/>
        <v>$mmr_Email = $_POST['mmr_Email'];</v>
      </c>
      <c r="F6" t="str">
        <f t="shared" si="3"/>
        <v>this-&gt;$mmr_Email= $row['mmr_Email'];</v>
      </c>
      <c r="I6" t="s">
        <v>17</v>
      </c>
    </row>
    <row r="7" spans="1:9" x14ac:dyDescent="0.25">
      <c r="A7" t="str">
        <f>TableColumns!A7</f>
        <v>mmr_Com_Method</v>
      </c>
      <c r="B7" t="str">
        <f t="shared" si="0"/>
        <v>$mmr_Com_Method</v>
      </c>
      <c r="C7" t="str">
        <f t="shared" si="1"/>
        <v>$_POST['mmr_Com_Method']</v>
      </c>
      <c r="D7" t="str">
        <f t="shared" si="2"/>
        <v>$mmr_Com_Method = $_POST['mmr_Com_Method'];</v>
      </c>
      <c r="F7" t="str">
        <f t="shared" si="3"/>
        <v>this-&gt;$mmr_Com_Method= $row['mmr_Com_Method'];</v>
      </c>
      <c r="I7" t="s">
        <v>18</v>
      </c>
    </row>
    <row r="8" spans="1:9" x14ac:dyDescent="0.25">
      <c r="A8" t="str">
        <f>TableColumns!A8</f>
        <v>mmr_WebPage</v>
      </c>
      <c r="B8" t="str">
        <f t="shared" ref="B8:B17" si="4">CONCATENATE("$",A8)</f>
        <v>$mmr_WebPage</v>
      </c>
      <c r="C8" t="str">
        <f t="shared" ref="C8:C17" si="5">CONCATENATE("$_POST['",A8,"']")</f>
        <v>$_POST['mmr_WebPage']</v>
      </c>
      <c r="D8" t="str">
        <f t="shared" ref="D8:D17" si="6">CONCATENATE(B8," = ",C8,";")</f>
        <v>$mmr_WebPage = $_POST['mmr_WebPage'];</v>
      </c>
      <c r="F8" t="str">
        <f t="shared" si="3"/>
        <v>this-&gt;$mmr_WebPage= $row['mmr_WebPage'];</v>
      </c>
      <c r="I8" t="s">
        <v>18</v>
      </c>
    </row>
    <row r="9" spans="1:9" x14ac:dyDescent="0.25">
      <c r="A9" t="str">
        <f>TableColumns!A9</f>
        <v>mmr_Facebook</v>
      </c>
      <c r="B9" t="str">
        <f t="shared" si="4"/>
        <v>$mmr_Facebook</v>
      </c>
      <c r="C9" t="str">
        <f t="shared" si="5"/>
        <v>$_POST['mmr_Facebook']</v>
      </c>
      <c r="D9" t="str">
        <f t="shared" si="6"/>
        <v>$mmr_Facebook = $_POST['mmr_Facebook'];</v>
      </c>
      <c r="F9" t="str">
        <f t="shared" si="3"/>
        <v>this-&gt;$mmr_Facebook= $row['mmr_Facebook'];</v>
      </c>
      <c r="I9" t="s">
        <v>18</v>
      </c>
    </row>
    <row r="10" spans="1:9" x14ac:dyDescent="0.25">
      <c r="A10" t="str">
        <f>TableColumns!A10</f>
        <v>mmr_Birthday</v>
      </c>
      <c r="B10" t="str">
        <f t="shared" si="4"/>
        <v>$mmr_Birthday</v>
      </c>
      <c r="C10" t="str">
        <f t="shared" si="5"/>
        <v>$_POST['mmr_Birthday']</v>
      </c>
      <c r="D10" t="str">
        <f t="shared" si="6"/>
        <v>$mmr_Birthday = $_POST['mmr_Birthday'];</v>
      </c>
      <c r="F10" t="str">
        <f t="shared" si="3"/>
        <v>this-&gt;$mmr_Birthday= $row['mmr_Birthday'];</v>
      </c>
      <c r="I10" t="s">
        <v>18</v>
      </c>
    </row>
    <row r="11" spans="1:9" x14ac:dyDescent="0.25">
      <c r="A11" t="str">
        <f>TableColumns!A11</f>
        <v>mmr_Sex</v>
      </c>
      <c r="B11" t="str">
        <f t="shared" si="4"/>
        <v>$mmr_Sex</v>
      </c>
      <c r="C11" t="str">
        <f t="shared" si="5"/>
        <v>$_POST['mmr_Sex']</v>
      </c>
      <c r="D11" t="str">
        <f t="shared" si="6"/>
        <v>$mmr_Sex = $_POST['mmr_Sex'];</v>
      </c>
      <c r="F11" t="str">
        <f t="shared" si="3"/>
        <v>this-&gt;$mmr_Sex= $row['mmr_Sex'];</v>
      </c>
      <c r="I11" t="s">
        <v>18</v>
      </c>
    </row>
    <row r="12" spans="1:9" x14ac:dyDescent="0.25">
      <c r="A12" t="str">
        <f>TableColumns!A12</f>
        <v>mmr_License</v>
      </c>
      <c r="B12" t="str">
        <f t="shared" si="4"/>
        <v>$mmr_License</v>
      </c>
      <c r="C12" t="str">
        <f t="shared" si="5"/>
        <v>$_POST['mmr_License']</v>
      </c>
      <c r="D12" t="str">
        <f t="shared" si="6"/>
        <v>$mmr_License = $_POST['mmr_License'];</v>
      </c>
      <c r="F12" t="str">
        <f t="shared" si="3"/>
        <v>this-&gt;$mmr_License= $row['mmr_License'];</v>
      </c>
      <c r="I12" t="s">
        <v>18</v>
      </c>
    </row>
    <row r="13" spans="1:9" x14ac:dyDescent="0.25">
      <c r="A13" t="str">
        <f>TableColumns!A13</f>
        <v>mmr_Message</v>
      </c>
      <c r="B13" t="str">
        <f t="shared" si="4"/>
        <v>$mmr_Message</v>
      </c>
      <c r="C13" t="str">
        <f t="shared" si="5"/>
        <v>$_POST['mmr_Message']</v>
      </c>
      <c r="D13" t="str">
        <f t="shared" si="6"/>
        <v>$mmr_Message = $_POST['mmr_Message'];</v>
      </c>
      <c r="F13" t="str">
        <f t="shared" si="3"/>
        <v>this-&gt;$mmr_Message= $row['mmr_Message'];</v>
      </c>
      <c r="I13" t="s">
        <v>18</v>
      </c>
    </row>
    <row r="14" spans="1:9" x14ac:dyDescent="0.25">
      <c r="A14" t="str">
        <f>TableColumns!A14</f>
        <v>mmr_Photo</v>
      </c>
      <c r="B14" t="str">
        <f t="shared" si="4"/>
        <v>$mmr_Photo</v>
      </c>
      <c r="C14" t="str">
        <f t="shared" si="5"/>
        <v>$_POST['mmr_Photo']</v>
      </c>
      <c r="D14" t="str">
        <f t="shared" si="6"/>
        <v>$mmr_Photo = $_POST['mmr_Photo'];</v>
      </c>
      <c r="F14" t="str">
        <f t="shared" si="3"/>
        <v>this-&gt;$mmr_Photo= $row['mmr_Photo'];</v>
      </c>
      <c r="I14" t="s">
        <v>18</v>
      </c>
    </row>
    <row r="15" spans="1:9" x14ac:dyDescent="0.25">
      <c r="A15" t="str">
        <f>TableColumns!A15</f>
        <v>mmr_Username</v>
      </c>
      <c r="B15" t="str">
        <f t="shared" si="4"/>
        <v>$mmr_Username</v>
      </c>
      <c r="C15" t="str">
        <f t="shared" si="5"/>
        <v>$_POST['mmr_Username']</v>
      </c>
      <c r="D15" t="str">
        <f t="shared" si="6"/>
        <v>$mmr_Username = $_POST['mmr_Username'];</v>
      </c>
      <c r="F15" t="str">
        <f t="shared" si="3"/>
        <v>this-&gt;$mmr_Username= $row['mmr_Username'];</v>
      </c>
      <c r="I15" t="s">
        <v>18</v>
      </c>
    </row>
    <row r="16" spans="1:9" x14ac:dyDescent="0.25">
      <c r="A16" t="str">
        <f>TableColumns!A16</f>
        <v>mmr_Password</v>
      </c>
      <c r="B16" t="str">
        <f t="shared" si="4"/>
        <v>$mmr_Password</v>
      </c>
      <c r="C16" t="str">
        <f t="shared" si="5"/>
        <v>$_POST['mmr_Password']</v>
      </c>
      <c r="D16" t="str">
        <f t="shared" si="6"/>
        <v>$mmr_Password = $_POST['mmr_Password'];</v>
      </c>
      <c r="F16" t="str">
        <f t="shared" si="3"/>
        <v>this-&gt;$mmr_Password= $row['mmr_Password'];</v>
      </c>
      <c r="I16" t="s">
        <v>18</v>
      </c>
    </row>
    <row r="17" spans="1:9" x14ac:dyDescent="0.25">
      <c r="A17" t="str">
        <f>TableColumns!A17</f>
        <v>mmr_Timestamp</v>
      </c>
      <c r="B17" t="str">
        <f t="shared" si="4"/>
        <v>$mmr_Timestamp</v>
      </c>
      <c r="C17" t="str">
        <f t="shared" si="5"/>
        <v>$_POST['mmr_Timestamp']</v>
      </c>
      <c r="D17" t="str">
        <f t="shared" si="6"/>
        <v>$mmr_Timestamp = $_POST['mmr_Timestamp'];</v>
      </c>
      <c r="F17" t="str">
        <f t="shared" si="3"/>
        <v>this-&gt;$mmr_Timestamp= $row['mmr_Timestamp'];</v>
      </c>
      <c r="I17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3"/>
  <dimension ref="A1:G13"/>
  <sheetViews>
    <sheetView workbookViewId="0">
      <selection activeCell="A7" sqref="A7:XFD11"/>
    </sheetView>
  </sheetViews>
  <sheetFormatPr defaultRowHeight="15" x14ac:dyDescent="0.25"/>
  <cols>
    <col min="1" max="1" width="1.85546875" bestFit="1" customWidth="1"/>
    <col min="2" max="2" width="4.85546875" bestFit="1" customWidth="1"/>
    <col min="3" max="3" width="10.28515625" bestFit="1" customWidth="1"/>
    <col min="4" max="4" width="4.85546875" bestFit="1" customWidth="1"/>
    <col min="7" max="7" width="40.140625" bestFit="1" customWidth="1"/>
  </cols>
  <sheetData>
    <row r="1" spans="1:7" x14ac:dyDescent="0.25">
      <c r="A1" t="s">
        <v>3</v>
      </c>
      <c r="B1" t="str">
        <f>TableColumns!A2</f>
        <v>mmr_ID</v>
      </c>
      <c r="C1" t="s">
        <v>4</v>
      </c>
      <c r="D1" t="str">
        <f>TableColumns!A2</f>
        <v>mmr_ID</v>
      </c>
      <c r="E1" s="1" t="s">
        <v>5</v>
      </c>
      <c r="G1" t="str">
        <f>CONCATENATE(A1,B1,C1,D1,E1)</f>
        <v>"mmr_ID" =&gt; $row['mmr_ID'],</v>
      </c>
    </row>
    <row r="2" spans="1:7" x14ac:dyDescent="0.25">
      <c r="A2" t="s">
        <v>3</v>
      </c>
      <c r="B2" t="str">
        <f>TableColumns!A3</f>
        <v>mmr_Lastname</v>
      </c>
      <c r="C2" t="s">
        <v>4</v>
      </c>
      <c r="D2" t="str">
        <f>TableColumns!A3</f>
        <v>mmr_Lastname</v>
      </c>
      <c r="E2" s="1" t="s">
        <v>5</v>
      </c>
      <c r="G2" t="str">
        <f t="shared" ref="G2:G6" si="0">CONCATENATE(A2,B2,C2,D2,E2)</f>
        <v>"mmr_Lastname" =&gt; $row['mmr_Lastname'],</v>
      </c>
    </row>
    <row r="3" spans="1:7" x14ac:dyDescent="0.25">
      <c r="A3" t="s">
        <v>3</v>
      </c>
      <c r="B3" t="str">
        <f>TableColumns!A4</f>
        <v>mmr_Firstname</v>
      </c>
      <c r="C3" t="s">
        <v>4</v>
      </c>
      <c r="D3" t="str">
        <f>TableColumns!A4</f>
        <v>mmr_Firstname</v>
      </c>
      <c r="E3" s="1" t="s">
        <v>5</v>
      </c>
      <c r="G3" t="str">
        <f t="shared" si="0"/>
        <v>"mmr_Firstname" =&gt; $row['mmr_Firstname'],</v>
      </c>
    </row>
    <row r="4" spans="1:7" x14ac:dyDescent="0.25">
      <c r="A4" t="s">
        <v>3</v>
      </c>
      <c r="B4" t="str">
        <f>TableColumns!A5</f>
        <v>mmr_Mobile</v>
      </c>
      <c r="C4" t="s">
        <v>4</v>
      </c>
      <c r="D4" t="str">
        <f>TableColumns!A5</f>
        <v>mmr_Mobile</v>
      </c>
      <c r="E4" s="1" t="s">
        <v>5</v>
      </c>
      <c r="G4" t="str">
        <f t="shared" si="0"/>
        <v>"mmr_Mobile" =&gt; $row['mmr_Mobile'],</v>
      </c>
    </row>
    <row r="5" spans="1:7" x14ac:dyDescent="0.25">
      <c r="A5" t="s">
        <v>3</v>
      </c>
      <c r="B5" t="str">
        <f>TableColumns!A6</f>
        <v>mmr_Email</v>
      </c>
      <c r="C5" t="s">
        <v>4</v>
      </c>
      <c r="D5" t="str">
        <f>TableColumns!A6</f>
        <v>mmr_Email</v>
      </c>
      <c r="E5" s="1" t="s">
        <v>5</v>
      </c>
      <c r="G5" t="str">
        <f t="shared" si="0"/>
        <v>"mmr_Email" =&gt; $row['mmr_Email'],</v>
      </c>
    </row>
    <row r="6" spans="1:7" x14ac:dyDescent="0.25">
      <c r="A6" t="s">
        <v>3</v>
      </c>
      <c r="B6" t="str">
        <f>TableColumns!A7</f>
        <v>mmr_Com_Method</v>
      </c>
      <c r="C6" t="s">
        <v>4</v>
      </c>
      <c r="D6" t="str">
        <f>TableColumns!A7</f>
        <v>mmr_Com_Method</v>
      </c>
      <c r="E6" s="1" t="s">
        <v>5</v>
      </c>
      <c r="G6" t="str">
        <f t="shared" si="0"/>
        <v>"mmr_Com_Method" =&gt; $row['mmr_Com_Method'],</v>
      </c>
    </row>
    <row r="7" spans="1:7" x14ac:dyDescent="0.25">
      <c r="E7" s="1"/>
    </row>
    <row r="8" spans="1:7" x14ac:dyDescent="0.25">
      <c r="E8" s="1"/>
    </row>
    <row r="9" spans="1:7" x14ac:dyDescent="0.25">
      <c r="E9" s="1"/>
    </row>
    <row r="10" spans="1:7" x14ac:dyDescent="0.25">
      <c r="E10" s="1"/>
    </row>
    <row r="11" spans="1:7" x14ac:dyDescent="0.25">
      <c r="E11" s="1"/>
    </row>
    <row r="12" spans="1:7" x14ac:dyDescent="0.25">
      <c r="E12" s="1"/>
    </row>
    <row r="13" spans="1:7" x14ac:dyDescent="0.25">
      <c r="E1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4"/>
  <dimension ref="A1:E6"/>
  <sheetViews>
    <sheetView workbookViewId="0">
      <selection activeCell="C21" sqref="C21"/>
    </sheetView>
  </sheetViews>
  <sheetFormatPr defaultRowHeight="15" x14ac:dyDescent="0.25"/>
  <cols>
    <col min="1" max="1" width="17.28515625" bestFit="1" customWidth="1"/>
    <col min="2" max="2" width="18.42578125" customWidth="1"/>
    <col min="3" max="3" width="33.140625" bestFit="1" customWidth="1"/>
    <col min="5" max="5" width="62" bestFit="1" customWidth="1"/>
  </cols>
  <sheetData>
    <row r="1" spans="1:5" x14ac:dyDescent="0.25">
      <c r="A1" t="str">
        <f>CONCATENATE("$",TableColumns!A2," = ")</f>
        <v xml:space="preserve">$mmr_ID = </v>
      </c>
      <c r="B1" t="str">
        <f>IF(LEFT(TableColumns!B2,3) = "int","escape_numeric (","escape_alpha (")</f>
        <v>escape_numeric (</v>
      </c>
      <c r="C1" t="str">
        <f>IF(B1 = "escape_numeric (","$_POST['" &amp; TableColumns!A2 &amp; "'], null);","$conn, $_POST['" &amp; TableColumns!A2 &amp; "']);")</f>
        <v>$_POST['mmr_ID'], null);</v>
      </c>
      <c r="E1" t="str">
        <f>CONCATENATE(A1,B1,C1)</f>
        <v>$mmr_ID = escape_numeric ($_POST['mmr_ID'], null);</v>
      </c>
    </row>
    <row r="2" spans="1:5" x14ac:dyDescent="0.25">
      <c r="A2" t="str">
        <f>CONCATENATE("$",TableColumns!A3," = ")</f>
        <v xml:space="preserve">$mmr_Lastname = </v>
      </c>
      <c r="B2" t="str">
        <f>IF(LEFT(TableColumns!B3,3) = "int","escape_numeric (","escape_alpha (")</f>
        <v>escape_alpha (</v>
      </c>
      <c r="C2" t="str">
        <f>IF(B2 = "escape_numeric (","$_POST['" &amp; TableColumns!A3 &amp; "'], null);","$conn, $_POST['" &amp; TableColumns!A3 &amp; "']);")</f>
        <v>$conn, $_POST['mmr_Lastname']);</v>
      </c>
      <c r="E2" t="str">
        <f t="shared" ref="E2:E6" si="0">CONCATENATE(A2,B2,C2)</f>
        <v>$mmr_Lastname = escape_alpha ($conn, $_POST['mmr_Lastname']);</v>
      </c>
    </row>
    <row r="3" spans="1:5" x14ac:dyDescent="0.25">
      <c r="A3" t="str">
        <f>CONCATENATE("$",TableColumns!A4," = ")</f>
        <v xml:space="preserve">$mmr_Firstname = </v>
      </c>
      <c r="B3" t="str">
        <f>IF(LEFT(TableColumns!B4,3) = "int","escape_numeric (","escape_alpha (")</f>
        <v>escape_alpha (</v>
      </c>
      <c r="C3" t="str">
        <f>IF(B3 = "escape_numeric (","$_POST['" &amp; TableColumns!A4 &amp; "'], null);","$conn, $_POST['" &amp; TableColumns!A4 &amp; "']);")</f>
        <v>$conn, $_POST['mmr_Firstname']);</v>
      </c>
      <c r="E3" t="str">
        <f t="shared" si="0"/>
        <v>$mmr_Firstname = escape_alpha ($conn, $_POST['mmr_Firstname']);</v>
      </c>
    </row>
    <row r="4" spans="1:5" x14ac:dyDescent="0.25">
      <c r="A4" t="str">
        <f>CONCATENATE("$",TableColumns!A5," = ")</f>
        <v xml:space="preserve">$mmr_Mobile = </v>
      </c>
      <c r="B4" t="str">
        <f>IF(LEFT(TableColumns!B5,3) = "int","escape_numeric (","escape_alpha (")</f>
        <v>escape_alpha (</v>
      </c>
      <c r="C4" t="str">
        <f>IF(B4 = "escape_numeric (","$_POST['" &amp; TableColumns!A5 &amp; "'], null);","$conn, $_POST['" &amp; TableColumns!A5 &amp; "']);")</f>
        <v>$conn, $_POST['mmr_Mobile']);</v>
      </c>
      <c r="E4" t="str">
        <f t="shared" si="0"/>
        <v>$mmr_Mobile = escape_alpha ($conn, $_POST['mmr_Mobile']);</v>
      </c>
    </row>
    <row r="5" spans="1:5" x14ac:dyDescent="0.25">
      <c r="A5" t="str">
        <f>CONCATENATE("$",TableColumns!A6," = ")</f>
        <v xml:space="preserve">$mmr_Email = </v>
      </c>
      <c r="B5" t="str">
        <f>IF(LEFT(TableColumns!B6,3) = "int","escape_numeric (","escape_alpha (")</f>
        <v>escape_alpha (</v>
      </c>
      <c r="C5" t="str">
        <f>IF(B5 = "escape_numeric (","$_POST['" &amp; TableColumns!A6 &amp; "'], null);","$conn, $_POST['" &amp; TableColumns!A6 &amp; "']);")</f>
        <v>$conn, $_POST['mmr_Email']);</v>
      </c>
      <c r="E5" t="str">
        <f t="shared" si="0"/>
        <v>$mmr_Email = escape_alpha ($conn, $_POST['mmr_Email']);</v>
      </c>
    </row>
    <row r="6" spans="1:5" x14ac:dyDescent="0.25">
      <c r="A6" t="str">
        <f>CONCATENATE("$",TableColumns!A7," = ")</f>
        <v xml:space="preserve">$mmr_Com_Method = </v>
      </c>
      <c r="B6" t="str">
        <f>IF(LEFT(TableColumns!B7,3) = "int","escape_numeric (","escape_alpha (")</f>
        <v>escape_alpha (</v>
      </c>
      <c r="C6" t="str">
        <f>IF(B6 = "escape_numeric (","$_POST['" &amp; TableColumns!A7 &amp; "'], null);","$conn, $_POST['" &amp; TableColumns!A7 &amp; "']);")</f>
        <v>$conn, $_POST['mmr_Com_Method']);</v>
      </c>
      <c r="E6" t="str">
        <f t="shared" si="0"/>
        <v>$mmr_Com_Method = escape_alpha ($conn, $_POST['mmr_Com_Method']);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5"/>
  <dimension ref="A1:R15"/>
  <sheetViews>
    <sheetView workbookViewId="0">
      <selection sqref="A1:E2"/>
    </sheetView>
  </sheetViews>
  <sheetFormatPr defaultRowHeight="15" x14ac:dyDescent="0.25"/>
  <cols>
    <col min="1" max="1" width="15.28515625" customWidth="1"/>
    <col min="2" max="2" width="16.28515625" customWidth="1"/>
    <col min="3" max="3" width="1.7109375" bestFit="1" customWidth="1"/>
    <col min="4" max="4" width="108.140625" bestFit="1" customWidth="1"/>
  </cols>
  <sheetData>
    <row r="1" spans="1:18" x14ac:dyDescent="0.25">
      <c r="A1" t="s">
        <v>8</v>
      </c>
      <c r="B1" t="s">
        <v>21</v>
      </c>
      <c r="C1" t="s">
        <v>9</v>
      </c>
      <c r="D1" t="s">
        <v>19</v>
      </c>
      <c r="E1" t="s">
        <v>10</v>
      </c>
      <c r="R1" t="s">
        <v>10</v>
      </c>
    </row>
    <row r="2" spans="1:18" x14ac:dyDescent="0.25">
      <c r="B2" t="s">
        <v>11</v>
      </c>
      <c r="C2" t="s">
        <v>9</v>
      </c>
      <c r="D2" t="s">
        <v>20</v>
      </c>
      <c r="E2" t="s">
        <v>10</v>
      </c>
    </row>
    <row r="4" spans="1:18" x14ac:dyDescent="0.25">
      <c r="A4" t="str">
        <f>IF(LEFT(TableColumns!B2,3) = "int",'Assign to variables'!B2,"'" &amp; 'Assign to variables'!B2 &amp; "'")</f>
        <v>$mmr_ID</v>
      </c>
    </row>
    <row r="5" spans="1:18" x14ac:dyDescent="0.25">
      <c r="A5" t="str">
        <f>IF(LEFT(TableColumns!B3,3) = "int",'Assign to variables'!B3,"'" &amp; 'Assign to variables'!B3 &amp; "'")</f>
        <v>'$mmr_Lastname'</v>
      </c>
    </row>
    <row r="6" spans="1:18" x14ac:dyDescent="0.25">
      <c r="A6" t="str">
        <f>IF(LEFT(TableColumns!B4,3) = "int",'Assign to variables'!B4,"'" &amp; 'Assign to variables'!B4 &amp; "'")</f>
        <v>'$mmr_Firstname'</v>
      </c>
      <c r="B6" s="1"/>
      <c r="C6" s="1"/>
    </row>
    <row r="7" spans="1:18" x14ac:dyDescent="0.25">
      <c r="A7" t="str">
        <f>IF(LEFT(TableColumns!B5,3) = "int",'Assign to variables'!B5,"'" &amp; 'Assign to variables'!B5 &amp; "'")</f>
        <v>'$mmr_Mobile'</v>
      </c>
      <c r="B7" s="1"/>
      <c r="C7" s="1"/>
    </row>
    <row r="8" spans="1:18" x14ac:dyDescent="0.25">
      <c r="A8" t="str">
        <f>IF(LEFT(TableColumns!B6,3) = "int",'Assign to variables'!B6,"'" &amp; 'Assign to variables'!B6 &amp; "'")</f>
        <v>'$mmr_Email'</v>
      </c>
      <c r="B8" s="1"/>
      <c r="C8" s="1"/>
    </row>
    <row r="9" spans="1:18" x14ac:dyDescent="0.25">
      <c r="A9" t="str">
        <f>IF(LEFT(TableColumns!B7,3) = "int",'Assign to variables'!B7,"'" &amp; 'Assign to variables'!B7 &amp; "'")</f>
        <v>'$mmr_Com_Method'</v>
      </c>
      <c r="B9" s="1"/>
      <c r="C9" s="1"/>
    </row>
    <row r="10" spans="1:18" x14ac:dyDescent="0.25">
      <c r="B10" s="1"/>
      <c r="C10" s="1"/>
    </row>
    <row r="14" spans="1:18" x14ac:dyDescent="0.25">
      <c r="B14" s="1"/>
      <c r="C14" s="1"/>
    </row>
    <row r="15" spans="1:18" x14ac:dyDescent="0.25">
      <c r="B15" s="1"/>
      <c r="C15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SQLInsert">
                <anchor moveWithCells="1" sizeWithCells="1">
                  <from>
                    <xdr:col>11</xdr:col>
                    <xdr:colOff>361950</xdr:colOff>
                    <xdr:row>5</xdr:row>
                    <xdr:rowOff>114300</xdr:rowOff>
                  </from>
                  <to>
                    <xdr:col>14</xdr:col>
                    <xdr:colOff>57150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SQLInsert">
                <anchor moveWithCells="1" sizeWithCells="1">
                  <from>
                    <xdr:col>3</xdr:col>
                    <xdr:colOff>66675</xdr:colOff>
                    <xdr:row>4</xdr:row>
                    <xdr:rowOff>47625</xdr:rowOff>
                  </from>
                  <to>
                    <xdr:col>3</xdr:col>
                    <xdr:colOff>1876425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5</vt:i4>
      </vt:variant>
    </vt:vector>
  </HeadingPairs>
  <TitlesOfParts>
    <vt:vector size="5" baseType="lpstr">
      <vt:lpstr>TableColumns</vt:lpstr>
      <vt:lpstr>Assign to variables</vt:lpstr>
      <vt:lpstr>API return array</vt:lpstr>
      <vt:lpstr>$_POST to vars</vt:lpstr>
      <vt:lpstr>INSERT INTO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Spyros Foundas</dc:creator>
  <cp:lastModifiedBy>Spyros Foundas</cp:lastModifiedBy>
  <dcterms:created xsi:type="dcterms:W3CDTF">2018-05-02T21:53:17Z</dcterms:created>
  <dcterms:modified xsi:type="dcterms:W3CDTF">2018-06-02T22:37:24Z</dcterms:modified>
</cp:coreProperties>
</file>